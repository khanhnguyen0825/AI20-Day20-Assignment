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BPC.VN\Downloads\"/>
    </mc:Choice>
  </mc:AlternateContent>
  <bookViews>
    <workbookView xWindow="0" yWindow="0" windowWidth="28800" windowHeight="12300" tabRatio="500"/>
  </bookViews>
  <sheets>
    <sheet name="1. Assumptions" sheetId="1" r:id="rId1"/>
    <sheet name="2. Unit Economics" sheetId="2" r:id="rId2"/>
    <sheet name="3. P&amp;L &amp; ROI" sheetId="3" r:id="rId3"/>
  </sheets>
  <calcPr calcId="162913" iterateDelta="1E-4"/>
</workbook>
</file>

<file path=xl/calcChain.xml><?xml version="1.0" encoding="utf-8"?>
<calcChain xmlns="http://schemas.openxmlformats.org/spreadsheetml/2006/main">
  <c r="D40" i="3" l="1"/>
  <c r="D39" i="3"/>
  <c r="D37" i="3"/>
  <c r="C6" i="3"/>
  <c r="C10" i="3" s="1"/>
  <c r="E18" i="2"/>
  <c r="D18" i="2"/>
  <c r="C18" i="2"/>
  <c r="C9" i="2"/>
  <c r="E8" i="2"/>
  <c r="D8" i="2"/>
  <c r="C8" i="2"/>
  <c r="E36" i="1"/>
  <c r="D36" i="1"/>
  <c r="C36" i="1"/>
  <c r="E28" i="1"/>
  <c r="D28" i="1"/>
  <c r="C28" i="1"/>
  <c r="E19" i="1"/>
  <c r="E14" i="2" s="1"/>
  <c r="D19" i="1"/>
  <c r="D14" i="2" s="1"/>
  <c r="C19" i="1"/>
  <c r="C14" i="2" s="1"/>
  <c r="E15" i="1"/>
  <c r="E9" i="2" s="1"/>
  <c r="D15" i="1"/>
  <c r="D9" i="2" s="1"/>
  <c r="C15" i="1"/>
  <c r="C15" i="3" l="1"/>
  <c r="C16" i="3"/>
  <c r="C10" i="2"/>
  <c r="C11" i="2" s="1"/>
  <c r="D10" i="2"/>
  <c r="D15" i="2" s="1"/>
  <c r="D21" i="2" s="1"/>
  <c r="D11" i="2"/>
  <c r="E10" i="2"/>
  <c r="C15" i="2"/>
  <c r="C21" i="2" s="1"/>
  <c r="C22" i="2"/>
  <c r="D22" i="2"/>
  <c r="C11" i="3"/>
  <c r="C12" i="3"/>
  <c r="C9" i="3"/>
  <c r="L22" i="3" s="1"/>
  <c r="C13" i="3"/>
  <c r="C8" i="3"/>
  <c r="C14" i="3"/>
  <c r="C17" i="3"/>
  <c r="D38" i="3"/>
  <c r="L28" i="3" l="1"/>
  <c r="R22" i="3"/>
  <c r="R28" i="3" s="1"/>
  <c r="S22" i="3"/>
  <c r="S28" i="3" s="1"/>
  <c r="J22" i="3"/>
  <c r="J28" i="3" s="1"/>
  <c r="E22" i="3"/>
  <c r="E28" i="3" s="1"/>
  <c r="F22" i="3"/>
  <c r="F28" i="3" s="1"/>
  <c r="E11" i="2"/>
  <c r="E22" i="2"/>
  <c r="E15" i="2"/>
  <c r="E21" i="2" s="1"/>
  <c r="E25" i="2" s="1"/>
  <c r="V22" i="3"/>
  <c r="V28" i="3" s="1"/>
  <c r="X22" i="3"/>
  <c r="X28" i="3" s="1"/>
  <c r="C25" i="2"/>
  <c r="Q22" i="3"/>
  <c r="Q28" i="3" s="1"/>
  <c r="O22" i="3"/>
  <c r="O28" i="3" s="1"/>
  <c r="K22" i="3"/>
  <c r="K28" i="3" s="1"/>
  <c r="N22" i="3"/>
  <c r="N28" i="3" s="1"/>
  <c r="D25" i="2"/>
  <c r="Y22" i="3"/>
  <c r="Y28" i="3" s="1"/>
  <c r="D22" i="3"/>
  <c r="D28" i="3" s="1"/>
  <c r="C22" i="3"/>
  <c r="H22" i="3"/>
  <c r="H28" i="3" s="1"/>
  <c r="M22" i="3"/>
  <c r="M28" i="3" s="1"/>
  <c r="T22" i="3"/>
  <c r="T28" i="3" s="1"/>
  <c r="W22" i="3"/>
  <c r="W28" i="3" s="1"/>
  <c r="I22" i="3"/>
  <c r="I28" i="3" s="1"/>
  <c r="U22" i="3"/>
  <c r="U28" i="3" s="1"/>
  <c r="Z22" i="3"/>
  <c r="Z28" i="3" s="1"/>
  <c r="Z29" i="3"/>
  <c r="N29" i="3"/>
  <c r="U29" i="3"/>
  <c r="I29" i="3"/>
  <c r="R29" i="3"/>
  <c r="F29" i="3"/>
  <c r="Y29" i="3"/>
  <c r="M29" i="3"/>
  <c r="X29" i="3"/>
  <c r="L29" i="3"/>
  <c r="W29" i="3"/>
  <c r="V29" i="3"/>
  <c r="J29" i="3"/>
  <c r="Q29" i="3"/>
  <c r="E29" i="3"/>
  <c r="K29" i="3"/>
  <c r="P29" i="3"/>
  <c r="D29" i="3"/>
  <c r="O29" i="3"/>
  <c r="C29" i="3"/>
  <c r="T29" i="3"/>
  <c r="H29" i="3"/>
  <c r="G29" i="3"/>
  <c r="S29" i="3"/>
  <c r="P22" i="3"/>
  <c r="P28" i="3" s="1"/>
  <c r="G22" i="3"/>
  <c r="G28" i="3" s="1"/>
  <c r="AA29" i="3" l="1"/>
  <c r="C28" i="3"/>
  <c r="AA28" i="3" s="1"/>
  <c r="C23" i="3"/>
  <c r="AA22" i="3"/>
  <c r="C26" i="3" l="1"/>
  <c r="D23" i="3"/>
  <c r="C25" i="3"/>
  <c r="C27" i="3" l="1"/>
  <c r="D26" i="3"/>
  <c r="E23" i="3"/>
  <c r="D25" i="3"/>
  <c r="D27" i="3" l="1"/>
  <c r="D30" i="3" s="1"/>
  <c r="D32" i="3" s="1"/>
  <c r="E26" i="3"/>
  <c r="F23" i="3"/>
  <c r="E25" i="3"/>
  <c r="C30" i="3"/>
  <c r="E27" i="3" l="1"/>
  <c r="E30" i="3" s="1"/>
  <c r="E32" i="3" s="1"/>
  <c r="C32" i="3"/>
  <c r="F25" i="3"/>
  <c r="F26" i="3"/>
  <c r="G23" i="3"/>
  <c r="F27" i="3" l="1"/>
  <c r="G26" i="3"/>
  <c r="H23" i="3"/>
  <c r="G25" i="3"/>
  <c r="C41" i="3"/>
  <c r="C33" i="3"/>
  <c r="G27" i="3" l="1"/>
  <c r="G30" i="3" s="1"/>
  <c r="G32" i="3" s="1"/>
  <c r="D33" i="3"/>
  <c r="E33" i="3" s="1"/>
  <c r="D41" i="3"/>
  <c r="E41" i="3" s="1"/>
  <c r="H26" i="3"/>
  <c r="I23" i="3"/>
  <c r="H25" i="3"/>
  <c r="F30" i="3"/>
  <c r="H27" i="3" l="1"/>
  <c r="H30" i="3" s="1"/>
  <c r="H32" i="3" s="1"/>
  <c r="F32" i="3"/>
  <c r="F41" i="3" s="1"/>
  <c r="I26" i="3"/>
  <c r="J23" i="3"/>
  <c r="I25" i="3"/>
  <c r="F33" i="3" l="1"/>
  <c r="G33" i="3" s="1"/>
  <c r="H33" i="3" s="1"/>
  <c r="J25" i="3"/>
  <c r="J26" i="3"/>
  <c r="K23" i="3"/>
  <c r="G41" i="3"/>
  <c r="H41" i="3" s="1"/>
  <c r="I27" i="3"/>
  <c r="I30" i="3" l="1"/>
  <c r="K25" i="3"/>
  <c r="K26" i="3"/>
  <c r="L23" i="3"/>
  <c r="J27" i="3"/>
  <c r="J30" i="3" s="1"/>
  <c r="J32" i="3" s="1"/>
  <c r="L26" i="3" l="1"/>
  <c r="M23" i="3"/>
  <c r="L25" i="3"/>
  <c r="K27" i="3"/>
  <c r="K30" i="3" s="1"/>
  <c r="K32" i="3" s="1"/>
  <c r="I32" i="3"/>
  <c r="L27" i="3" l="1"/>
  <c r="L30" i="3" s="1"/>
  <c r="L32" i="3" s="1"/>
  <c r="I41" i="3"/>
  <c r="I33" i="3"/>
  <c r="M25" i="3"/>
  <c r="N23" i="3"/>
  <c r="M26" i="3"/>
  <c r="J33" i="3" l="1"/>
  <c r="K33" i="3" s="1"/>
  <c r="L33" i="3" s="1"/>
  <c r="N26" i="3"/>
  <c r="O23" i="3"/>
  <c r="N25" i="3"/>
  <c r="N27" i="3" s="1"/>
  <c r="N30" i="3" s="1"/>
  <c r="N32" i="3" s="1"/>
  <c r="M27" i="3"/>
  <c r="J41" i="3"/>
  <c r="K41" i="3" s="1"/>
  <c r="L41" i="3" s="1"/>
  <c r="M30" i="3" l="1"/>
  <c r="O26" i="3"/>
  <c r="P23" i="3"/>
  <c r="O25" i="3"/>
  <c r="O27" i="3" s="1"/>
  <c r="O30" i="3" s="1"/>
  <c r="O32" i="3" s="1"/>
  <c r="P25" i="3" l="1"/>
  <c r="P26" i="3"/>
  <c r="Q23" i="3"/>
  <c r="M32" i="3"/>
  <c r="M41" i="3" l="1"/>
  <c r="M33" i="3"/>
  <c r="Q26" i="3"/>
  <c r="R23" i="3"/>
  <c r="Q25" i="3"/>
  <c r="P27" i="3"/>
  <c r="P30" i="3" s="1"/>
  <c r="Q27" i="3" l="1"/>
  <c r="Q30" i="3" s="1"/>
  <c r="Q32" i="3" s="1"/>
  <c r="P32" i="3"/>
  <c r="R25" i="3"/>
  <c r="R26" i="3"/>
  <c r="S23" i="3"/>
  <c r="N33" i="3"/>
  <c r="O33" i="3" s="1"/>
  <c r="N41" i="3"/>
  <c r="O41" i="3" s="1"/>
  <c r="P41" i="3" l="1"/>
  <c r="Q41" i="3" s="1"/>
  <c r="P33" i="3"/>
  <c r="Q33" i="3" s="1"/>
  <c r="R27" i="3"/>
  <c r="R30" i="3" s="1"/>
  <c r="R32" i="3" s="1"/>
  <c r="S26" i="3"/>
  <c r="T23" i="3"/>
  <c r="S25" i="3"/>
  <c r="R41" i="3" l="1"/>
  <c r="S27" i="3"/>
  <c r="S30" i="3" s="1"/>
  <c r="S32" i="3" s="1"/>
  <c r="S41" i="3" s="1"/>
  <c r="R33" i="3"/>
  <c r="T26" i="3"/>
  <c r="U23" i="3"/>
  <c r="T25" i="3"/>
  <c r="T27" i="3" s="1"/>
  <c r="T30" i="3" s="1"/>
  <c r="T32" i="3" s="1"/>
  <c r="T41" i="3" l="1"/>
  <c r="S33" i="3"/>
  <c r="T33" i="3" s="1"/>
  <c r="U26" i="3"/>
  <c r="V23" i="3"/>
  <c r="U25" i="3"/>
  <c r="U27" i="3" s="1"/>
  <c r="U30" i="3" s="1"/>
  <c r="U32" i="3" s="1"/>
  <c r="U41" i="3" l="1"/>
  <c r="V25" i="3"/>
  <c r="W23" i="3"/>
  <c r="V26" i="3"/>
  <c r="U33" i="3"/>
  <c r="W25" i="3" l="1"/>
  <c r="W26" i="3"/>
  <c r="X23" i="3"/>
  <c r="V27" i="3"/>
  <c r="V30" i="3" s="1"/>
  <c r="V32" i="3" s="1"/>
  <c r="V41" i="3" s="1"/>
  <c r="V33" i="3" l="1"/>
  <c r="X26" i="3"/>
  <c r="Y23" i="3"/>
  <c r="X25" i="3"/>
  <c r="X27" i="3" s="1"/>
  <c r="X30" i="3" s="1"/>
  <c r="X32" i="3" s="1"/>
  <c r="W27" i="3"/>
  <c r="W30" i="3" s="1"/>
  <c r="W32" i="3" s="1"/>
  <c r="W41" i="3" s="1"/>
  <c r="X41" i="3" s="1"/>
  <c r="Y25" i="3" l="1"/>
  <c r="Y26" i="3"/>
  <c r="Z23" i="3"/>
  <c r="W33" i="3"/>
  <c r="X33" i="3" s="1"/>
  <c r="Z26" i="3" l="1"/>
  <c r="AA26" i="3" s="1"/>
  <c r="Z25" i="3"/>
  <c r="Y27" i="3"/>
  <c r="Y30" i="3" s="1"/>
  <c r="Y32" i="3" s="1"/>
  <c r="Y41" i="3" s="1"/>
  <c r="Z27" i="3" l="1"/>
  <c r="AA25" i="3"/>
  <c r="Y33" i="3"/>
  <c r="Z30" i="3" l="1"/>
  <c r="AA27" i="3"/>
  <c r="Z32" i="3" l="1"/>
  <c r="AA30" i="3"/>
  <c r="C37" i="3" l="1"/>
  <c r="C38" i="3"/>
  <c r="AA32" i="3"/>
  <c r="Z41" i="3"/>
  <c r="C39" i="3" s="1"/>
  <c r="Z33" i="3"/>
  <c r="C40" i="3" s="1"/>
  <c r="C44" i="3" l="1"/>
</calcChain>
</file>

<file path=xl/sharedStrings.xml><?xml version="1.0" encoding="utf-8"?>
<sst xmlns="http://schemas.openxmlformats.org/spreadsheetml/2006/main" count="154" uniqueCount="138">
  <si>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</si>
  <si>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</si>
  <si>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</si>
  <si>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</si>
  <si>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</si>
  <si>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</si>
  <si>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</si>
  <si>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</si>
  <si>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</si>
  <si>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</si>
  <si>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</si>
  <si>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</si>
  <si>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</si>
  <si>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</si>
  <si>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</si>
  <si>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</si>
  <si>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</si>
  <si>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</si>
  <si>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</si>
  <si>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</si>
  <si>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</si>
  <si>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</si>
  <si>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</si>
  <si>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</si>
  <si>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</si>
  <si>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</si>
  <si>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</si>
  <si>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</si>
  <si>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</si>
  <si>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</si>
  <si>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</si>
  <si>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</si>
  <si>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</si>
  <si>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</si>
  <si>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</si>
  <si>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</si>
  <si>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</si>
  <si>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</si>
  <si>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</si>
  <si>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</si>
  <si>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</si>
  <si>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</si>
  <si>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</si>
  <si>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</si>
  <si>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</si>
  <si>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</si>
  <si>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</si>
  <si>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</si>
  <si>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</si>
  <si>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</si>
  <si>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</si>
  <si>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</si>
  <si>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</si>
  <si>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</si>
  <si>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</si>
  <si>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</si>
  <si>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</si>
  <si>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</si>
  <si>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</si>
  <si>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</si>
  <si>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</si>
  <si>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</si>
  <si>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</si>
  <si>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</si>
  <si>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</si>
  <si>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</si>
  <si>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</si>
  <si>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</si>
  <si>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</si>
  <si>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</si>
  <si>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</si>
  <si>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</si>
  <si>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</si>
  <si>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</si>
  <si>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</si>
  <si>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</si>
  <si>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</si>
  <si>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</si>
  <si>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</si>
  <si>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</si>
  <si>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</si>
  <si>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</si>
  <si>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</si>
  <si>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</si>
  <si>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</si>
  <si>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</si>
  <si>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</si>
  <si>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</si>
  <si>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</si>
  <si>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</si>
  <si>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</si>
  <si>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</si>
  <si>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</si>
  <si>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</si>
  <si>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</si>
  <si>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</si>
  <si>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</si>
  <si>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</si>
  <si>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</si>
  <si>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</si>
  <si>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</si>
  <si>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</si>
  <si>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</si>
  <si>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</si>
  <si>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</si>
  <si>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</si>
  <si>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</si>
  <si>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</si>
  <si>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</si>
  <si>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</si>
  <si>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</si>
  <si>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</si>
  <si>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</si>
  <si>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</si>
  <si>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</si>
  <si>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</si>
  <si>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</si>
  <si>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</si>
  <si>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</si>
  <si>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</si>
  <si>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</si>
  <si>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</si>
  <si>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</si>
  <si>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</si>
  <si>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</si>
  <si>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</si>
  <si>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</si>
  <si>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</si>
  <si>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</si>
  <si>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</si>
  <si>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</si>
  <si>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</si>
  <si>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</si>
  <si>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</si>
  <si>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</si>
  <si>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</si>
  <si>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Mức ARPU (49K-99K) được thiết lập dựa trên giả thuyết sinh viên IT sẵn sàng trả phí cho một báo cáo 'Wow' giúp tiết kiệm thời gian hơn hẳn so với việc tự dùng ChatGPT miễn phí. CAC mục tiêu (15K-20K) và Vốn đầu tư ban đầu (2 triệu VNĐ) được tối ưu hóa theo chiến lược 'Cheapest test' để validate nhanh giả thuyết trả tiền với biên lợi nhuận gộp cực cao (~97% trước CAC). Mặc dù tỷ lệ Churn dự kiến cao (~75%) do đặc thù sản phẩm dùng theo thời điểm tìm việc, nhưng mô hình vẫn đảm bảo tính khả thi nhờ chi phí vận hành (Fixed Costs) thấp và tập trung vào True leading indicator là tỷ lệ quay lại sửa CV trong 48 giờ. Tỷ suất chiết khấu WACC (40%) được chọn để phản ánh đúng mức độ rủi ro của dự án AI giai đoạn Pre-seed khi chưa đạt PMF</t>
  </si>
  <si>
    <t>Idea: Công cụ AI tự động phát hiện Top 3 gaps giữa CV và JD Backend/Frontend của sinh viên IT năm cuối, kèm gợi ý rewrite và câu hỏi phỏng vấn kỹ thuật sát thực tế. - từ day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</si>
</sst>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0.0%\);\-"/>
    <numFmt numFmtId="166" formatCode="0.0&quot; tháng&quot;"/>
    <numFmt numFmtId="167" formatCode="0.00\x"/>
  </numFmts>
  <fonts count="21"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
      <sz val="12"/>
      <color theme="1"/>
      <name val="Times New Roman"/>
      <family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5">
    <xf numFmtId="0" fontId="0" fillId="0" borderId="0" xfId="0"/>
    <xf numFmtId="0" fontId="19" fillId="0" borderId="0" xfId="0" applyFont="1" applyBorder="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Border="1" applyAlignment="1">
      <alignment horizontal="left" vertical="center" indent="1"/>
    </xf>
    <xf numFmtId="0" fontId="2" fillId="0" borderId="0" xfId="0" applyFont="1" applyBorder="1" applyAlignment="1">
      <alignment horizontal="left" vertical="center" wrapText="1"/>
    </xf>
    <xf numFmtId="0" fontId="1" fillId="2" borderId="0" xfId="0" applyFont="1" applyFill="1" applyBorder="1" applyAlignment="1">
      <alignment horizontal="left" vertical="center" inden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0" fontId="2" fillId="0" borderId="0" xfId="0" applyFont="1" applyAlignment="1">
      <alignment horizontal="left" vertical="center" wrapText="1"/>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0" fontId="20" fillId="0" borderId="0" xfId="0" applyFont="1"/>
  </cellXfs>
  <cellStyles count="1">
    <cellStyle name="Normal" xfId="0" builtinId="0"/>
  </cellStyles>
  <dxfs count="47">
    <dxf>
      <font>
        <b/>
        <sz val="11"/>
        <color rgb="FFDC2626"/>
        <name val="Arial"/>
      </font>
      <fill>
        <patternFill>
          <bgColor rgb="FFFEE2E2"/>
        </patternFill>
      </fill>
    </dxf>
    <dxf>
      <font>
        <b/>
        <sz val="11"/>
        <color rgb="FFDC2626"/>
        <name val="Arial"/>
      </font>
      <fill>
        <patternFill>
          <bgColor rgb="FFFEE2E2"/>
        </patternFill>
      </fill>
    </dxf>
    <dxf>
      <font>
        <b/>
        <sz val="11"/>
        <color rgb="FF16A34A"/>
        <name val="Arial"/>
      </font>
      <fill>
        <patternFill>
          <bgColor rgb="FFDCFCE7"/>
        </patternFill>
      </fill>
    </dxf>
    <dxf>
      <font>
        <b/>
        <sz val="11"/>
        <color rgb="FFDC2626"/>
        <name val="Arial"/>
      </font>
      <fill>
        <patternFill>
          <bgColor rgb="FFFEE2E2"/>
        </patternFill>
      </fill>
    </dxf>
    <dxf>
      <font>
        <b/>
        <sz val="11"/>
        <color rgb="FF16A34A"/>
        <name val="Arial"/>
      </font>
      <fill>
        <patternFill>
          <bgColor rgb="FFDCFCE7"/>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9"/>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
      <font>
        <b/>
        <sz val="10"/>
        <color rgb="FF16A34A"/>
        <name val="Arial"/>
      </font>
      <fill>
        <patternFill>
          <bgColor rgb="FFDCFCE7"/>
        </patternFill>
      </fill>
    </dxf>
    <dxf>
      <font>
        <b/>
        <sz val="10"/>
        <color rgb="FFD97706"/>
        <name val="Arial"/>
      </font>
      <fill>
        <patternFill>
          <bgColor rgb="FFFEF3C7"/>
        </patternFill>
      </fill>
    </dxf>
    <dxf>
      <font>
        <b/>
        <sz val="10"/>
        <color rgb="FFDC2626"/>
        <name val="Arial"/>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1"/>
  <sheetViews>
    <sheetView tabSelected="1" zoomScaleNormal="100" workbookViewId="0">
      <pane ySplit="5" topLeftCell="A6" activePane="bottomLeft" state="frozen"/>
      <selection pane="bottomLeft" activeCell="R12" sqref="R12"/>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 t="s">
        <v>0</v>
      </c>
      <c r="C2" s="5"/>
      <c r="D2" s="5"/>
      <c r="E2" s="5"/>
      <c r="F2" s="5"/>
    </row>
    <row r="3" spans="2:7" ht="19.5" customHeight="1" x14ac:dyDescent="0.25">
      <c r="B3" s="4" t="s">
        <v>1</v>
      </c>
      <c r="C3" s="4"/>
      <c r="D3" s="4"/>
      <c r="E3" s="4"/>
      <c r="F3" s="4"/>
      <c r="G3" s="4"/>
    </row>
    <row r="4" spans="2:7" ht="15.75" x14ac:dyDescent="0.25">
      <c r="B4" s="54" t="s">
        <v>137</v>
      </c>
    </row>
    <row r="5" spans="2:7" x14ac:dyDescent="0.25">
      <c r="B5" s="3" t="s">
        <v>2</v>
      </c>
      <c r="C5" s="3"/>
      <c r="D5" s="3"/>
      <c r="E5" s="3"/>
      <c r="F5" s="3"/>
    </row>
    <row r="6" spans="2:7" x14ac:dyDescent="0.25">
      <c r="C6" s="6" t="s">
        <v>3</v>
      </c>
      <c r="D6" s="7" t="s">
        <v>4</v>
      </c>
      <c r="E6" s="8" t="s">
        <v>5</v>
      </c>
      <c r="F6" s="9" t="s">
        <v>6</v>
      </c>
      <c r="G6" s="10" t="s">
        <v>7</v>
      </c>
    </row>
    <row r="7" spans="2:7" x14ac:dyDescent="0.25">
      <c r="B7" s="11" t="s">
        <v>8</v>
      </c>
      <c r="C7" s="12">
        <v>99000</v>
      </c>
      <c r="D7" s="12">
        <v>69000</v>
      </c>
      <c r="E7" s="12">
        <v>49000</v>
      </c>
      <c r="F7" s="13" t="s">
        <v>9</v>
      </c>
      <c r="G7" s="14" t="s">
        <v>10</v>
      </c>
    </row>
    <row r="8" spans="2:7" x14ac:dyDescent="0.25">
      <c r="B8" s="11" t="s">
        <v>11</v>
      </c>
      <c r="C8" s="15">
        <v>0.05</v>
      </c>
      <c r="D8" s="15">
        <v>0.03</v>
      </c>
      <c r="E8" s="15">
        <v>0.01</v>
      </c>
      <c r="F8" s="13" t="s">
        <v>12</v>
      </c>
      <c r="G8" s="14" t="s">
        <v>13</v>
      </c>
    </row>
    <row r="9" spans="2:7" x14ac:dyDescent="0.25">
      <c r="B9" s="11" t="s">
        <v>14</v>
      </c>
      <c r="C9" s="12">
        <v>5000</v>
      </c>
      <c r="D9" s="12">
        <v>5000</v>
      </c>
      <c r="E9" s="12">
        <v>5000</v>
      </c>
      <c r="F9" s="13" t="s">
        <v>15</v>
      </c>
      <c r="G9" s="14" t="s">
        <v>16</v>
      </c>
    </row>
    <row r="11" spans="2:7" x14ac:dyDescent="0.25">
      <c r="B11" s="3" t="s">
        <v>17</v>
      </c>
      <c r="C11" s="3"/>
      <c r="D11" s="3"/>
      <c r="E11" s="3"/>
      <c r="F11" s="3"/>
    </row>
    <row r="12" spans="2:7" x14ac:dyDescent="0.25">
      <c r="B12" s="11" t="s">
        <v>18</v>
      </c>
      <c r="C12" s="12">
        <v>1500</v>
      </c>
      <c r="D12" s="12">
        <v>1000</v>
      </c>
      <c r="E12" s="12">
        <v>500</v>
      </c>
      <c r="F12" s="13" t="s">
        <v>9</v>
      </c>
      <c r="G12" s="14" t="s">
        <v>19</v>
      </c>
    </row>
    <row r="13" spans="2:7" x14ac:dyDescent="0.25">
      <c r="B13" s="11" t="s">
        <v>20</v>
      </c>
      <c r="C13" s="12">
        <v>500</v>
      </c>
      <c r="D13" s="12">
        <v>700</v>
      </c>
      <c r="E13" s="12">
        <v>1000</v>
      </c>
      <c r="F13" s="13" t="s">
        <v>9</v>
      </c>
      <c r="G13" s="14" t="s">
        <v>21</v>
      </c>
    </row>
    <row r="14" spans="2:7" x14ac:dyDescent="0.25">
      <c r="B14" s="11" t="s">
        <v>22</v>
      </c>
      <c r="C14" s="12">
        <v>2475</v>
      </c>
      <c r="D14" s="12">
        <v>1725</v>
      </c>
      <c r="E14" s="12">
        <v>1225</v>
      </c>
      <c r="F14" s="13" t="s">
        <v>9</v>
      </c>
      <c r="G14" s="14" t="s">
        <v>23</v>
      </c>
    </row>
    <row r="15" spans="2:7" x14ac:dyDescent="0.25">
      <c r="B15" s="16" t="s">
        <v>24</v>
      </c>
      <c r="C15" s="17">
        <f>C12+C13+C14</f>
        <v>4475</v>
      </c>
      <c r="D15" s="17">
        <f>D12+D13+D14</f>
        <v>3425</v>
      </c>
      <c r="E15" s="17">
        <f>E12+E13+E14</f>
        <v>2725</v>
      </c>
      <c r="F15" s="18"/>
    </row>
    <row r="17" spans="2:7" x14ac:dyDescent="0.25">
      <c r="B17" s="3" t="s">
        <v>25</v>
      </c>
      <c r="C17" s="3"/>
      <c r="D17" s="3"/>
      <c r="E17" s="3"/>
      <c r="F17" s="3"/>
    </row>
    <row r="18" spans="2:7" x14ac:dyDescent="0.25">
      <c r="B18" s="11" t="s">
        <v>26</v>
      </c>
      <c r="C18" s="15">
        <v>0.6</v>
      </c>
      <c r="D18" s="15">
        <v>0.75</v>
      </c>
      <c r="E18" s="15">
        <v>0.85</v>
      </c>
      <c r="F18" s="13" t="s">
        <v>27</v>
      </c>
      <c r="G18" s="14" t="s">
        <v>28</v>
      </c>
    </row>
    <row r="19" spans="2:7" x14ac:dyDescent="0.25">
      <c r="B19" s="19" t="s">
        <v>29</v>
      </c>
      <c r="C19" s="20">
        <f>IFERROR(1/C18,0)</f>
        <v>1.6666666666666667</v>
      </c>
      <c r="D19" s="20">
        <f>IFERROR(1/D18,0)</f>
        <v>1.3333333333333333</v>
      </c>
      <c r="E19" s="20">
        <f>IFERROR(1/E18,0)</f>
        <v>1.1764705882352942</v>
      </c>
      <c r="F19" s="21"/>
    </row>
    <row r="21" spans="2:7" x14ac:dyDescent="0.25">
      <c r="B21" s="3" t="s">
        <v>30</v>
      </c>
      <c r="C21" s="3"/>
      <c r="D21" s="3"/>
      <c r="E21" s="3"/>
      <c r="F21" s="3"/>
    </row>
    <row r="22" spans="2:7" x14ac:dyDescent="0.25">
      <c r="B22" s="11" t="s">
        <v>31</v>
      </c>
      <c r="C22" s="12">
        <v>15000</v>
      </c>
      <c r="D22" s="12">
        <v>25000</v>
      </c>
      <c r="E22" s="12">
        <v>40000</v>
      </c>
      <c r="F22" s="13" t="s">
        <v>9</v>
      </c>
      <c r="G22" s="14" t="s">
        <v>32</v>
      </c>
    </row>
    <row r="24" spans="2:7" x14ac:dyDescent="0.25">
      <c r="B24" s="3" t="s">
        <v>33</v>
      </c>
      <c r="C24" s="3"/>
      <c r="D24" s="3"/>
      <c r="E24" s="3"/>
      <c r="F24" s="3"/>
    </row>
    <row r="25" spans="2:7" x14ac:dyDescent="0.25">
      <c r="B25" s="11" t="s">
        <v>34</v>
      </c>
      <c r="C25" s="12">
        <v>0</v>
      </c>
      <c r="D25" s="12">
        <v>0</v>
      </c>
      <c r="E25" s="12">
        <v>5000000</v>
      </c>
      <c r="F25" s="13" t="s">
        <v>35</v>
      </c>
      <c r="G25" s="14" t="s">
        <v>36</v>
      </c>
    </row>
    <row r="26" spans="2:7" x14ac:dyDescent="0.25">
      <c r="B26" s="11" t="s">
        <v>37</v>
      </c>
      <c r="C26" s="12">
        <v>200000</v>
      </c>
      <c r="D26" s="12">
        <v>500000</v>
      </c>
      <c r="E26" s="12">
        <v>1000000</v>
      </c>
      <c r="F26" s="13" t="s">
        <v>35</v>
      </c>
    </row>
    <row r="27" spans="2:7" x14ac:dyDescent="0.25">
      <c r="B27" s="11" t="s">
        <v>38</v>
      </c>
      <c r="C27" s="12">
        <v>500000</v>
      </c>
      <c r="D27" s="12">
        <v>1000000</v>
      </c>
      <c r="E27" s="12">
        <v>2000000</v>
      </c>
      <c r="F27" s="13" t="s">
        <v>35</v>
      </c>
    </row>
    <row r="28" spans="2:7" x14ac:dyDescent="0.25">
      <c r="B28" s="19" t="s">
        <v>39</v>
      </c>
      <c r="C28" s="22">
        <f>SUM(C25:C27)</f>
        <v>700000</v>
      </c>
      <c r="D28" s="22">
        <f>SUM(D25:D27)</f>
        <v>1500000</v>
      </c>
      <c r="E28" s="22">
        <f>SUM(E25:E27)</f>
        <v>8000000</v>
      </c>
      <c r="F28" s="21"/>
    </row>
    <row r="30" spans="2:7" x14ac:dyDescent="0.25">
      <c r="B30" s="3" t="s">
        <v>40</v>
      </c>
      <c r="C30" s="3"/>
      <c r="D30" s="3"/>
      <c r="E30" s="3"/>
      <c r="F30" s="3"/>
    </row>
    <row r="31" spans="2:7" x14ac:dyDescent="0.25">
      <c r="B31" s="11" t="s">
        <v>41</v>
      </c>
      <c r="C31" s="12">
        <v>5000000</v>
      </c>
      <c r="D31" s="12">
        <v>10000000</v>
      </c>
      <c r="E31" s="12">
        <v>15000000</v>
      </c>
      <c r="F31" s="13" t="s">
        <v>9</v>
      </c>
      <c r="G31" s="14" t="s">
        <v>42</v>
      </c>
    </row>
    <row r="32" spans="2:7" x14ac:dyDescent="0.25">
      <c r="B32" s="11" t="s">
        <v>43</v>
      </c>
      <c r="C32" s="12">
        <v>5000000</v>
      </c>
      <c r="D32" s="12">
        <v>10000000</v>
      </c>
      <c r="E32" s="12">
        <v>20000000</v>
      </c>
      <c r="F32" s="13" t="s">
        <v>9</v>
      </c>
      <c r="G32" s="14" t="s">
        <v>44</v>
      </c>
    </row>
    <row r="34" spans="2:7" x14ac:dyDescent="0.25">
      <c r="B34" s="3" t="s">
        <v>45</v>
      </c>
      <c r="C34" s="3"/>
      <c r="D34" s="3"/>
      <c r="E34" s="3"/>
      <c r="F34" s="3"/>
    </row>
    <row r="35" spans="2:7" x14ac:dyDescent="0.25">
      <c r="B35" s="11" t="s">
        <v>46</v>
      </c>
      <c r="C35" s="15">
        <v>0.3</v>
      </c>
      <c r="D35" s="15">
        <v>0.4</v>
      </c>
      <c r="E35" s="15">
        <v>0.5</v>
      </c>
      <c r="F35" s="13" t="s">
        <v>47</v>
      </c>
      <c r="G35" s="14" t="s">
        <v>48</v>
      </c>
    </row>
    <row r="36" spans="2:7" x14ac:dyDescent="0.25">
      <c r="B36" s="19" t="s">
        <v>49</v>
      </c>
      <c r="C36" s="23">
        <f>(1+C35)^(1/12)-1</f>
        <v>2.2104450593615876E-2</v>
      </c>
      <c r="D36" s="23">
        <f>(1+D35)^(1/12)-1</f>
        <v>2.8436155726361267E-2</v>
      </c>
      <c r="E36" s="23">
        <f>(1+E35)^(1/12)-1</f>
        <v>3.436608313191658E-2</v>
      </c>
      <c r="F36" s="21"/>
    </row>
    <row r="38" spans="2:7" x14ac:dyDescent="0.25">
      <c r="B38" s="3" t="s">
        <v>50</v>
      </c>
      <c r="C38" s="3"/>
      <c r="D38" s="3"/>
      <c r="E38" s="3"/>
      <c r="F38" s="3"/>
    </row>
    <row r="39" spans="2:7" ht="24.75" customHeight="1" x14ac:dyDescent="0.25">
      <c r="B39" s="2" t="s">
        <v>136</v>
      </c>
      <c r="C39" s="2"/>
      <c r="D39" s="2"/>
      <c r="E39" s="2"/>
      <c r="F39" s="2"/>
    </row>
    <row r="40" spans="2:7" ht="24.75" customHeight="1" x14ac:dyDescent="0.25">
      <c r="B40" s="2"/>
      <c r="C40" s="2"/>
      <c r="D40" s="2"/>
      <c r="E40" s="2"/>
      <c r="F40" s="2"/>
    </row>
    <row r="41" spans="2:7" ht="24.75" customHeight="1" x14ac:dyDescent="0.25">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5"/>
  <sheetViews>
    <sheetView zoomScaleNormal="100" workbookViewId="0">
      <pane ySplit="5" topLeftCell="A6" activePane="bottomLeft" state="frozen"/>
      <selection pane="bottomLeft" activeCell="D30" sqref="D30"/>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 t="s">
        <v>51</v>
      </c>
      <c r="C2" s="5"/>
      <c r="D2" s="5"/>
      <c r="E2" s="5"/>
      <c r="F2" s="5"/>
    </row>
    <row r="3" spans="2:7" ht="19.5" customHeight="1" x14ac:dyDescent="0.25">
      <c r="B3" s="4" t="s">
        <v>52</v>
      </c>
      <c r="C3" s="4"/>
      <c r="D3" s="4"/>
      <c r="E3" s="4"/>
      <c r="F3" s="4"/>
      <c r="G3" s="4"/>
    </row>
    <row r="5" spans="2:7" x14ac:dyDescent="0.25">
      <c r="B5" s="10" t="s">
        <v>53</v>
      </c>
      <c r="C5" s="6" t="s">
        <v>3</v>
      </c>
      <c r="D5" s="7" t="s">
        <v>4</v>
      </c>
      <c r="E5" s="8" t="s">
        <v>5</v>
      </c>
      <c r="F5" s="9" t="s">
        <v>6</v>
      </c>
      <c r="G5" s="10" t="s">
        <v>54</v>
      </c>
    </row>
    <row r="7" spans="2:7" x14ac:dyDescent="0.25">
      <c r="B7" s="3" t="s">
        <v>55</v>
      </c>
      <c r="C7" s="3"/>
      <c r="D7" s="3"/>
      <c r="E7" s="3"/>
      <c r="F7" s="3"/>
    </row>
    <row r="8" spans="2:7" x14ac:dyDescent="0.25">
      <c r="B8" s="11" t="s">
        <v>56</v>
      </c>
      <c r="C8" s="24">
        <f>'1. Assumptions'!C7</f>
        <v>99000</v>
      </c>
      <c r="D8" s="24">
        <f>'1. Assumptions'!D7</f>
        <v>69000</v>
      </c>
      <c r="E8" s="24">
        <f>'1. Assumptions'!E7</f>
        <v>49000</v>
      </c>
      <c r="F8" s="13" t="s">
        <v>9</v>
      </c>
      <c r="G8" s="14" t="s">
        <v>57</v>
      </c>
    </row>
    <row r="9" spans="2:7" x14ac:dyDescent="0.25">
      <c r="B9" s="11" t="s">
        <v>58</v>
      </c>
      <c r="C9" s="24">
        <f>'1. Assumptions'!C15</f>
        <v>4475</v>
      </c>
      <c r="D9" s="24">
        <f>'1. Assumptions'!D15</f>
        <v>3425</v>
      </c>
      <c r="E9" s="24">
        <f>'1. Assumptions'!E15</f>
        <v>2725</v>
      </c>
      <c r="F9" s="13" t="s">
        <v>9</v>
      </c>
    </row>
    <row r="10" spans="2:7" x14ac:dyDescent="0.25">
      <c r="B10" s="19" t="s">
        <v>59</v>
      </c>
      <c r="C10" s="22">
        <f>C8-C9</f>
        <v>94525</v>
      </c>
      <c r="D10" s="22">
        <f>D8-D9</f>
        <v>65575</v>
      </c>
      <c r="E10" s="22">
        <f>E8-E9</f>
        <v>46275</v>
      </c>
      <c r="F10" s="21"/>
    </row>
    <row r="11" spans="2:7" x14ac:dyDescent="0.25">
      <c r="B11" s="19" t="s">
        <v>60</v>
      </c>
      <c r="C11" s="23">
        <f>IFERROR(C10/C8,0)</f>
        <v>0.95479797979797976</v>
      </c>
      <c r="D11" s="23">
        <f>IFERROR(D10/D8,0)</f>
        <v>0.95036231884057976</v>
      </c>
      <c r="E11" s="23">
        <f>IFERROR(E10/E8,0)</f>
        <v>0.94438775510204087</v>
      </c>
      <c r="F11" s="21"/>
      <c r="G11" s="14" t="s">
        <v>61</v>
      </c>
    </row>
    <row r="13" spans="2:7" x14ac:dyDescent="0.25">
      <c r="B13" s="3" t="s">
        <v>62</v>
      </c>
      <c r="C13" s="3"/>
      <c r="D13" s="3"/>
      <c r="E13" s="3"/>
      <c r="F13" s="3"/>
    </row>
    <row r="14" spans="2:7" x14ac:dyDescent="0.25">
      <c r="B14" s="11" t="s">
        <v>63</v>
      </c>
      <c r="C14" s="25">
        <f>'1. Assumptions'!C19</f>
        <v>1.6666666666666667</v>
      </c>
      <c r="D14" s="25">
        <f>'1. Assumptions'!D19</f>
        <v>1.3333333333333333</v>
      </c>
      <c r="E14" s="25">
        <f>'1. Assumptions'!E19</f>
        <v>1.1764705882352942</v>
      </c>
      <c r="F14" s="13" t="s">
        <v>64</v>
      </c>
    </row>
    <row r="15" spans="2:7" x14ac:dyDescent="0.25">
      <c r="B15" s="19" t="s">
        <v>65</v>
      </c>
      <c r="C15" s="22">
        <f>C10*C14</f>
        <v>157541.66666666669</v>
      </c>
      <c r="D15" s="22">
        <f>D10*D14</f>
        <v>87433.333333333328</v>
      </c>
      <c r="E15" s="22">
        <f>E10*E14</f>
        <v>54441.176470588238</v>
      </c>
      <c r="F15" s="21"/>
      <c r="G15" s="14" t="s">
        <v>66</v>
      </c>
    </row>
    <row r="17" spans="2:7" x14ac:dyDescent="0.25">
      <c r="B17" s="3" t="s">
        <v>67</v>
      </c>
      <c r="C17" s="3"/>
      <c r="D17" s="3"/>
      <c r="E17" s="3"/>
      <c r="F17" s="3"/>
    </row>
    <row r="18" spans="2:7" x14ac:dyDescent="0.25">
      <c r="B18" s="11" t="s">
        <v>68</v>
      </c>
      <c r="C18" s="24">
        <f>'1. Assumptions'!C22</f>
        <v>15000</v>
      </c>
      <c r="D18" s="24">
        <f>'1. Assumptions'!D22</f>
        <v>25000</v>
      </c>
      <c r="E18" s="24">
        <f>'1. Assumptions'!E22</f>
        <v>40000</v>
      </c>
      <c r="F18" s="13" t="s">
        <v>9</v>
      </c>
    </row>
    <row r="20" spans="2:7" x14ac:dyDescent="0.25">
      <c r="B20" s="3" t="s">
        <v>69</v>
      </c>
      <c r="C20" s="3"/>
      <c r="D20" s="3"/>
      <c r="E20" s="3"/>
      <c r="F20" s="3"/>
    </row>
    <row r="21" spans="2:7" x14ac:dyDescent="0.25">
      <c r="B21" s="19" t="s">
        <v>70</v>
      </c>
      <c r="C21" s="26">
        <f>IFERROR(C15/C18,0)</f>
        <v>10.502777777777778</v>
      </c>
      <c r="D21" s="26">
        <f>IFERROR(D15/D18,0)</f>
        <v>3.4973333333333332</v>
      </c>
      <c r="E21" s="26">
        <f>IFERROR(E15/E18,0)</f>
        <v>1.3610294117647059</v>
      </c>
      <c r="F21" s="21"/>
      <c r="G21" s="14" t="s">
        <v>71</v>
      </c>
    </row>
    <row r="22" spans="2:7" x14ac:dyDescent="0.25">
      <c r="B22" s="19" t="s">
        <v>72</v>
      </c>
      <c r="C22" s="20">
        <f>IFERROR(C18/C10,0)</f>
        <v>0.15868817773075905</v>
      </c>
      <c r="D22" s="20">
        <f>IFERROR(D18/D10,0)</f>
        <v>0.38124285169653072</v>
      </c>
      <c r="E22" s="20">
        <f>IFERROR(E18/E10,0)</f>
        <v>0.86439762290653699</v>
      </c>
      <c r="F22" s="21"/>
      <c r="G22" s="14" t="s">
        <v>73</v>
      </c>
    </row>
    <row r="24" spans="2:7" x14ac:dyDescent="0.25">
      <c r="B24" s="3" t="s">
        <v>74</v>
      </c>
      <c r="C24" s="3"/>
      <c r="D24" s="3"/>
      <c r="E24" s="3"/>
      <c r="F24" s="3"/>
    </row>
    <row r="25" spans="2:7" x14ac:dyDescent="0.25">
      <c r="B25" s="10" t="s">
        <v>75</v>
      </c>
      <c r="C25" s="27" t="str">
        <f>IF(AND(C21&gt;=3,C22&lt;=12),"✓ HEALTHY",IF(OR(C21&lt;1,C22&gt;18),"✗ UNHEALTHY","⚠ WATCH"))</f>
        <v>✓ HEALTHY</v>
      </c>
      <c r="D25" s="27" t="str">
        <f>IF(AND(D21&gt;=3,D22&lt;=12),"✓ HEALTHY",IF(OR(D21&lt;1,D22&gt;18),"✗ UNHEALTHY","⚠ WATCH"))</f>
        <v>✓ HEALTHY</v>
      </c>
      <c r="E25" s="27" t="str">
        <f>IF(AND(E21&gt;=3,E22&lt;=12),"✓ HEALTHY",IF(OR(E21&lt;1,E22&gt;18),"✗ UNHEALTHY","⚠ WATCH"))</f>
        <v>⚠ WATCH</v>
      </c>
    </row>
  </sheetData>
  <mergeCells count="7">
    <mergeCell ref="B20:F20"/>
    <mergeCell ref="B24:F24"/>
    <mergeCell ref="B2:F2"/>
    <mergeCell ref="B3:G3"/>
    <mergeCell ref="B7:F7"/>
    <mergeCell ref="B13:F13"/>
    <mergeCell ref="B17:F17"/>
  </mergeCells>
  <conditionalFormatting sqref="C21">
    <cfRule type="cellIs" dxfId="46" priority="2" operator="lessThan">
      <formula>1</formula>
    </cfRule>
    <cfRule type="cellIs" dxfId="45" priority="3" operator="between">
      <formula>1</formula>
      <formula>3</formula>
    </cfRule>
    <cfRule type="cellIs" dxfId="44" priority="4" operator="greaterThanOrEqual">
      <formula>3</formula>
    </cfRule>
  </conditionalFormatting>
  <conditionalFormatting sqref="D21">
    <cfRule type="cellIs" dxfId="43" priority="5" operator="lessThan">
      <formula>1</formula>
    </cfRule>
    <cfRule type="cellIs" dxfId="42" priority="6" operator="between">
      <formula>1</formula>
      <formula>3</formula>
    </cfRule>
    <cfRule type="cellIs" dxfId="41" priority="7" operator="greaterThanOrEqual">
      <formula>3</formula>
    </cfRule>
  </conditionalFormatting>
  <conditionalFormatting sqref="E21">
    <cfRule type="cellIs" dxfId="40" priority="8" operator="lessThan">
      <formula>1</formula>
    </cfRule>
    <cfRule type="cellIs" dxfId="39" priority="9" operator="between">
      <formula>1</formula>
      <formula>3</formula>
    </cfRule>
    <cfRule type="cellIs" dxfId="38" priority="10" operator="greaterThanOrEqual">
      <formula>3</formula>
    </cfRule>
  </conditionalFormatting>
  <conditionalFormatting sqref="C22">
    <cfRule type="cellIs" dxfId="37" priority="11" operator="greaterThan">
      <formula>18</formula>
    </cfRule>
    <cfRule type="cellIs" dxfId="36" priority="12" operator="between">
      <formula>12</formula>
      <formula>18</formula>
    </cfRule>
    <cfRule type="cellIs" dxfId="35" priority="13" operator="lessThanOrEqual">
      <formula>12</formula>
    </cfRule>
  </conditionalFormatting>
  <conditionalFormatting sqref="D22">
    <cfRule type="cellIs" dxfId="34" priority="14" operator="greaterThan">
      <formula>18</formula>
    </cfRule>
    <cfRule type="cellIs" dxfId="33" priority="15" operator="between">
      <formula>12</formula>
      <formula>18</formula>
    </cfRule>
    <cfRule type="cellIs" dxfId="32" priority="16" operator="lessThanOrEqual">
      <formula>12</formula>
    </cfRule>
  </conditionalFormatting>
  <conditionalFormatting sqref="E22">
    <cfRule type="cellIs" dxfId="31" priority="17" operator="greaterThan">
      <formula>18</formula>
    </cfRule>
    <cfRule type="cellIs" dxfId="30" priority="18" operator="between">
      <formula>12</formula>
      <formula>18</formula>
    </cfRule>
    <cfRule type="cellIs" dxfId="29" priority="19"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44"/>
  <sheetViews>
    <sheetView zoomScale="85" zoomScaleNormal="85" workbookViewId="0">
      <pane xSplit="2" ySplit="21" topLeftCell="C22" activePane="bottomRight" state="frozen"/>
      <selection pane="topRight" activeCell="C1" sqref="C1"/>
      <selection pane="bottomLeft" activeCell="A22" sqref="A22"/>
      <selection pane="bottomRight" activeCell="C4" sqref="C4"/>
    </sheetView>
  </sheetViews>
  <sheetFormatPr defaultColWidth="8.7109375" defaultRowHeight="15" x14ac:dyDescent="0.25"/>
  <cols>
    <col min="1" max="1" width="3" customWidth="1"/>
    <col min="2" max="2" width="36" customWidth="1"/>
    <col min="3" max="26" width="13" customWidth="1"/>
    <col min="27" max="27" width="16" customWidth="1"/>
  </cols>
  <sheetData>
    <row r="2" spans="2:8" ht="30" customHeight="1" x14ac:dyDescent="0.25">
      <c r="B2" s="5" t="s">
        <v>76</v>
      </c>
      <c r="C2" s="5"/>
      <c r="D2" s="5"/>
      <c r="E2" s="5"/>
      <c r="F2" s="5"/>
      <c r="G2" s="5"/>
      <c r="H2" s="5"/>
    </row>
    <row r="4" spans="2:8" ht="15" customHeight="1" x14ac:dyDescent="0.25">
      <c r="B4" s="28" t="s">
        <v>77</v>
      </c>
      <c r="C4" s="29" t="s">
        <v>4</v>
      </c>
      <c r="D4" s="4" t="s">
        <v>78</v>
      </c>
      <c r="E4" s="4"/>
      <c r="F4" s="4"/>
      <c r="G4" s="4"/>
      <c r="H4" s="4"/>
    </row>
    <row r="6" spans="2:8" x14ac:dyDescent="0.25">
      <c r="B6" s="30" t="s">
        <v>79</v>
      </c>
      <c r="C6" s="30">
        <f>MATCH(C4,{"Optimistic","Base","Pessimistic"},0)</f>
        <v>2</v>
      </c>
    </row>
    <row r="7" spans="2:8" x14ac:dyDescent="0.25">
      <c r="B7" s="31" t="s">
        <v>80</v>
      </c>
    </row>
    <row r="8" spans="2:8" x14ac:dyDescent="0.25">
      <c r="B8" s="32" t="s">
        <v>81</v>
      </c>
      <c r="C8" s="33">
        <f>CHOOSE($C$6,'1. Assumptions'!C7,'1. Assumptions'!D7,'1. Assumptions'!E7)</f>
        <v>69000</v>
      </c>
    </row>
    <row r="9" spans="2:8" x14ac:dyDescent="0.25">
      <c r="B9" s="32" t="s">
        <v>82</v>
      </c>
      <c r="C9" s="34">
        <f>CHOOSE($C$6,'1. Assumptions'!C8,'1. Assumptions'!D8,'1. Assumptions'!E8)</f>
        <v>0.03</v>
      </c>
    </row>
    <row r="10" spans="2:8" x14ac:dyDescent="0.25">
      <c r="B10" s="32" t="s">
        <v>83</v>
      </c>
      <c r="C10" s="33">
        <f>CHOOSE($C$6,'1. Assumptions'!C9,'1. Assumptions'!D9,'1. Assumptions'!E9)</f>
        <v>5000</v>
      </c>
    </row>
    <row r="11" spans="2:8" x14ac:dyDescent="0.25">
      <c r="B11" s="32" t="s">
        <v>84</v>
      </c>
      <c r="C11" s="33">
        <f>CHOOSE($C$6,'1. Assumptions'!C15,'1. Assumptions'!D15,'1. Assumptions'!E15)</f>
        <v>3425</v>
      </c>
    </row>
    <row r="12" spans="2:8" x14ac:dyDescent="0.25">
      <c r="B12" s="32" t="s">
        <v>85</v>
      </c>
      <c r="C12" s="34">
        <f>CHOOSE($C$6,'1. Assumptions'!C18,'1. Assumptions'!D18,'1. Assumptions'!E18)</f>
        <v>0.75</v>
      </c>
    </row>
    <row r="13" spans="2:8" x14ac:dyDescent="0.25">
      <c r="B13" s="32" t="s">
        <v>86</v>
      </c>
      <c r="C13" s="33">
        <f>CHOOSE($C$6,'1. Assumptions'!C22,'1. Assumptions'!D22,'1. Assumptions'!E22)</f>
        <v>25000</v>
      </c>
    </row>
    <row r="14" spans="2:8" x14ac:dyDescent="0.25">
      <c r="B14" s="32" t="s">
        <v>87</v>
      </c>
      <c r="C14" s="33">
        <f>CHOOSE($C$6,'1. Assumptions'!C28,'1. Assumptions'!D28,'1. Assumptions'!E28)</f>
        <v>1500000</v>
      </c>
    </row>
    <row r="15" spans="2:8" x14ac:dyDescent="0.25">
      <c r="B15" s="32" t="s">
        <v>88</v>
      </c>
      <c r="C15" s="33">
        <f>CHOOSE($C$6,'1. Assumptions'!C31,'1. Assumptions'!D31,'1. Assumptions'!E31)</f>
        <v>10000000</v>
      </c>
    </row>
    <row r="16" spans="2:8" x14ac:dyDescent="0.25">
      <c r="B16" s="32" t="s">
        <v>89</v>
      </c>
      <c r="C16" s="33">
        <f>CHOOSE($C$6,'1. Assumptions'!C32,'1. Assumptions'!D32,'1. Assumptions'!E32)</f>
        <v>10000000</v>
      </c>
    </row>
    <row r="17" spans="2:27" x14ac:dyDescent="0.25">
      <c r="B17" s="32" t="s">
        <v>90</v>
      </c>
      <c r="C17" s="34">
        <f>CHOOSE($C$6,'1. Assumptions'!C36,'1. Assumptions'!D36,'1. Assumptions'!E36)</f>
        <v>2.8436155726361267E-2</v>
      </c>
    </row>
    <row r="20" spans="2:27" x14ac:dyDescent="0.25">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25">
      <c r="B21" s="35" t="s">
        <v>92</v>
      </c>
      <c r="C21" s="36" t="s">
        <v>93</v>
      </c>
      <c r="D21" s="36" t="s">
        <v>94</v>
      </c>
      <c r="E21" s="36" t="s">
        <v>95</v>
      </c>
      <c r="F21" s="36" t="s">
        <v>96</v>
      </c>
      <c r="G21" s="36" t="s">
        <v>97</v>
      </c>
      <c r="H21" s="36" t="s">
        <v>98</v>
      </c>
      <c r="I21" s="36" t="s">
        <v>99</v>
      </c>
      <c r="J21" s="36" t="s">
        <v>100</v>
      </c>
      <c r="K21" s="36" t="s">
        <v>101</v>
      </c>
      <c r="L21" s="36" t="s">
        <v>102</v>
      </c>
      <c r="M21" s="36" t="s">
        <v>103</v>
      </c>
      <c r="N21" s="36" t="s">
        <v>104</v>
      </c>
      <c r="O21" s="36" t="s">
        <v>105</v>
      </c>
      <c r="P21" s="36" t="s">
        <v>106</v>
      </c>
      <c r="Q21" s="36" t="s">
        <v>107</v>
      </c>
      <c r="R21" s="36" t="s">
        <v>108</v>
      </c>
      <c r="S21" s="36" t="s">
        <v>109</v>
      </c>
      <c r="T21" s="36" t="s">
        <v>110</v>
      </c>
      <c r="U21" s="36" t="s">
        <v>111</v>
      </c>
      <c r="V21" s="36" t="s">
        <v>112</v>
      </c>
      <c r="W21" s="36" t="s">
        <v>113</v>
      </c>
      <c r="X21" s="36" t="s">
        <v>114</v>
      </c>
      <c r="Y21" s="36" t="s">
        <v>115</v>
      </c>
      <c r="Z21" s="36" t="s">
        <v>116</v>
      </c>
      <c r="AA21" s="37" t="s">
        <v>117</v>
      </c>
    </row>
    <row r="22" spans="2:27" x14ac:dyDescent="0.25">
      <c r="B22" s="11" t="s">
        <v>118</v>
      </c>
      <c r="C22" s="38">
        <f t="shared" ref="C22:Z22" si="0">ROUND($C$10*$C$9,0)</f>
        <v>150</v>
      </c>
      <c r="D22" s="38">
        <f t="shared" si="0"/>
        <v>150</v>
      </c>
      <c r="E22" s="38">
        <f t="shared" si="0"/>
        <v>150</v>
      </c>
      <c r="F22" s="38">
        <f t="shared" si="0"/>
        <v>150</v>
      </c>
      <c r="G22" s="38">
        <f t="shared" si="0"/>
        <v>150</v>
      </c>
      <c r="H22" s="38">
        <f t="shared" si="0"/>
        <v>150</v>
      </c>
      <c r="I22" s="38">
        <f t="shared" si="0"/>
        <v>150</v>
      </c>
      <c r="J22" s="38">
        <f t="shared" si="0"/>
        <v>150</v>
      </c>
      <c r="K22" s="38">
        <f t="shared" si="0"/>
        <v>150</v>
      </c>
      <c r="L22" s="38">
        <f t="shared" si="0"/>
        <v>150</v>
      </c>
      <c r="M22" s="38">
        <f t="shared" si="0"/>
        <v>150</v>
      </c>
      <c r="N22" s="38">
        <f t="shared" si="0"/>
        <v>150</v>
      </c>
      <c r="O22" s="38">
        <f t="shared" si="0"/>
        <v>150</v>
      </c>
      <c r="P22" s="38">
        <f t="shared" si="0"/>
        <v>150</v>
      </c>
      <c r="Q22" s="38">
        <f t="shared" si="0"/>
        <v>150</v>
      </c>
      <c r="R22" s="38">
        <f t="shared" si="0"/>
        <v>150</v>
      </c>
      <c r="S22" s="38">
        <f t="shared" si="0"/>
        <v>150</v>
      </c>
      <c r="T22" s="38">
        <f t="shared" si="0"/>
        <v>150</v>
      </c>
      <c r="U22" s="38">
        <f t="shared" si="0"/>
        <v>150</v>
      </c>
      <c r="V22" s="38">
        <f t="shared" si="0"/>
        <v>150</v>
      </c>
      <c r="W22" s="38">
        <f t="shared" si="0"/>
        <v>150</v>
      </c>
      <c r="X22" s="38">
        <f t="shared" si="0"/>
        <v>150</v>
      </c>
      <c r="Y22" s="38">
        <f t="shared" si="0"/>
        <v>150</v>
      </c>
      <c r="Z22" s="38">
        <f t="shared" si="0"/>
        <v>150</v>
      </c>
      <c r="AA22" s="39">
        <f>SUM(C22:Z22)</f>
        <v>3600</v>
      </c>
    </row>
    <row r="23" spans="2:27" x14ac:dyDescent="0.25">
      <c r="B23" s="11" t="s">
        <v>119</v>
      </c>
      <c r="C23" s="38">
        <f>C22</f>
        <v>150</v>
      </c>
      <c r="D23" s="38">
        <f t="shared" ref="D23:Z23" si="1">C23*(1-$C$12)+D22</f>
        <v>187.5</v>
      </c>
      <c r="E23" s="38">
        <f t="shared" si="1"/>
        <v>196.875</v>
      </c>
      <c r="F23" s="38">
        <f t="shared" si="1"/>
        <v>199.21875</v>
      </c>
      <c r="G23" s="38">
        <f t="shared" si="1"/>
        <v>199.8046875</v>
      </c>
      <c r="H23" s="38">
        <f t="shared" si="1"/>
        <v>199.951171875</v>
      </c>
      <c r="I23" s="38">
        <f t="shared" si="1"/>
        <v>199.98779296875</v>
      </c>
      <c r="J23" s="38">
        <f t="shared" si="1"/>
        <v>199.9969482421875</v>
      </c>
      <c r="K23" s="38">
        <f t="shared" si="1"/>
        <v>199.99923706054688</v>
      </c>
      <c r="L23" s="38">
        <f t="shared" si="1"/>
        <v>199.99980926513672</v>
      </c>
      <c r="M23" s="38">
        <f t="shared" si="1"/>
        <v>199.99995231628418</v>
      </c>
      <c r="N23" s="38">
        <f t="shared" si="1"/>
        <v>199.99998807907104</v>
      </c>
      <c r="O23" s="38">
        <f t="shared" si="1"/>
        <v>199.99999701976776</v>
      </c>
      <c r="P23" s="38">
        <f t="shared" si="1"/>
        <v>199.99999925494194</v>
      </c>
      <c r="Q23" s="38">
        <f t="shared" si="1"/>
        <v>199.99999981373549</v>
      </c>
      <c r="R23" s="38">
        <f t="shared" si="1"/>
        <v>199.99999995343387</v>
      </c>
      <c r="S23" s="38">
        <f t="shared" si="1"/>
        <v>199.99999998835847</v>
      </c>
      <c r="T23" s="38">
        <f t="shared" si="1"/>
        <v>199.99999999708962</v>
      </c>
      <c r="U23" s="38">
        <f t="shared" si="1"/>
        <v>199.9999999992724</v>
      </c>
      <c r="V23" s="38">
        <f t="shared" si="1"/>
        <v>199.9999999998181</v>
      </c>
      <c r="W23" s="38">
        <f t="shared" si="1"/>
        <v>199.99999999995453</v>
      </c>
      <c r="X23" s="38">
        <f t="shared" si="1"/>
        <v>199.99999999998863</v>
      </c>
      <c r="Y23" s="38">
        <f t="shared" si="1"/>
        <v>199.99999999999716</v>
      </c>
      <c r="Z23" s="38">
        <f t="shared" si="1"/>
        <v>199.99999999999929</v>
      </c>
    </row>
    <row r="25" spans="2:27" x14ac:dyDescent="0.25">
      <c r="B25" s="40" t="s">
        <v>120</v>
      </c>
      <c r="C25" s="41">
        <f t="shared" ref="C25:Z25" si="2">C23*$C$8</f>
        <v>10350000</v>
      </c>
      <c r="D25" s="41">
        <f t="shared" si="2"/>
        <v>12937500</v>
      </c>
      <c r="E25" s="41">
        <f t="shared" si="2"/>
        <v>13584375</v>
      </c>
      <c r="F25" s="41">
        <f t="shared" si="2"/>
        <v>13746093.75</v>
      </c>
      <c r="G25" s="41">
        <f t="shared" si="2"/>
        <v>13786523.4375</v>
      </c>
      <c r="H25" s="41">
        <f t="shared" si="2"/>
        <v>13796630.859375</v>
      </c>
      <c r="I25" s="41">
        <f t="shared" si="2"/>
        <v>13799157.71484375</v>
      </c>
      <c r="J25" s="41">
        <f t="shared" si="2"/>
        <v>13799789.428710938</v>
      </c>
      <c r="K25" s="41">
        <f t="shared" si="2"/>
        <v>13799947.357177734</v>
      </c>
      <c r="L25" s="41">
        <f t="shared" si="2"/>
        <v>13799986.839294434</v>
      </c>
      <c r="M25" s="41">
        <f t="shared" si="2"/>
        <v>13799996.709823608</v>
      </c>
      <c r="N25" s="41">
        <f t="shared" si="2"/>
        <v>13799999.177455902</v>
      </c>
      <c r="O25" s="41">
        <f t="shared" si="2"/>
        <v>13799999.794363976</v>
      </c>
      <c r="P25" s="41">
        <f t="shared" si="2"/>
        <v>13799999.948590994</v>
      </c>
      <c r="Q25" s="41">
        <f t="shared" si="2"/>
        <v>13799999.987147748</v>
      </c>
      <c r="R25" s="41">
        <f t="shared" si="2"/>
        <v>13799999.996786937</v>
      </c>
      <c r="S25" s="41">
        <f t="shared" si="2"/>
        <v>13799999.999196734</v>
      </c>
      <c r="T25" s="41">
        <f t="shared" si="2"/>
        <v>13799999.999799185</v>
      </c>
      <c r="U25" s="41">
        <f t="shared" si="2"/>
        <v>13799999.999949796</v>
      </c>
      <c r="V25" s="41">
        <f t="shared" si="2"/>
        <v>13799999.999987449</v>
      </c>
      <c r="W25" s="41">
        <f t="shared" si="2"/>
        <v>13799999.999996861</v>
      </c>
      <c r="X25" s="41">
        <f t="shared" si="2"/>
        <v>13799999.999999216</v>
      </c>
      <c r="Y25" s="41">
        <f t="shared" si="2"/>
        <v>13799999.999999804</v>
      </c>
      <c r="Z25" s="41">
        <f t="shared" si="2"/>
        <v>13799999.999999952</v>
      </c>
      <c r="AA25" s="42">
        <f t="shared" ref="AA25:AA30" si="3">SUM(C25:Z25)</f>
        <v>326600000</v>
      </c>
    </row>
    <row r="26" spans="2:27" x14ac:dyDescent="0.25">
      <c r="B26" s="11" t="s">
        <v>121</v>
      </c>
      <c r="C26" s="38">
        <f t="shared" ref="C26:Z26" si="4">C23*$C$11</f>
        <v>513750</v>
      </c>
      <c r="D26" s="38">
        <f t="shared" si="4"/>
        <v>642187.5</v>
      </c>
      <c r="E26" s="38">
        <f t="shared" si="4"/>
        <v>674296.875</v>
      </c>
      <c r="F26" s="38">
        <f t="shared" si="4"/>
        <v>682324.21875</v>
      </c>
      <c r="G26" s="38">
        <f t="shared" si="4"/>
        <v>684331.0546875</v>
      </c>
      <c r="H26" s="38">
        <f t="shared" si="4"/>
        <v>684832.763671875</v>
      </c>
      <c r="I26" s="38">
        <f t="shared" si="4"/>
        <v>684958.19091796875</v>
      </c>
      <c r="J26" s="38">
        <f t="shared" si="4"/>
        <v>684989.54772949219</v>
      </c>
      <c r="K26" s="38">
        <f t="shared" si="4"/>
        <v>684997.38693237305</v>
      </c>
      <c r="L26" s="38">
        <f t="shared" si="4"/>
        <v>684999.34673309326</v>
      </c>
      <c r="M26" s="38">
        <f t="shared" si="4"/>
        <v>684999.83668327332</v>
      </c>
      <c r="N26" s="38">
        <f t="shared" si="4"/>
        <v>684999.95917081833</v>
      </c>
      <c r="O26" s="38">
        <f t="shared" si="4"/>
        <v>684999.98979270458</v>
      </c>
      <c r="P26" s="38">
        <f t="shared" si="4"/>
        <v>684999.99744817615</v>
      </c>
      <c r="Q26" s="38">
        <f t="shared" si="4"/>
        <v>684999.99936204404</v>
      </c>
      <c r="R26" s="38">
        <f t="shared" si="4"/>
        <v>684999.99984051101</v>
      </c>
      <c r="S26" s="38">
        <f t="shared" si="4"/>
        <v>684999.99996012775</v>
      </c>
      <c r="T26" s="38">
        <f t="shared" si="4"/>
        <v>684999.99999003194</v>
      </c>
      <c r="U26" s="38">
        <f t="shared" si="4"/>
        <v>684999.99999750801</v>
      </c>
      <c r="V26" s="38">
        <f t="shared" si="4"/>
        <v>684999.99999937695</v>
      </c>
      <c r="W26" s="38">
        <f t="shared" si="4"/>
        <v>684999.99999984424</v>
      </c>
      <c r="X26" s="38">
        <f t="shared" si="4"/>
        <v>684999.99999996112</v>
      </c>
      <c r="Y26" s="38">
        <f t="shared" si="4"/>
        <v>684999.99999999022</v>
      </c>
      <c r="Z26" s="38">
        <f t="shared" si="4"/>
        <v>684999.99999999756</v>
      </c>
      <c r="AA26" s="39">
        <f t="shared" si="3"/>
        <v>16211666.666666666</v>
      </c>
    </row>
    <row r="27" spans="2:27" x14ac:dyDescent="0.25">
      <c r="B27" s="10" t="s">
        <v>122</v>
      </c>
      <c r="C27" s="43">
        <f t="shared" ref="C27:Z27" si="5">C25-C26</f>
        <v>9836250</v>
      </c>
      <c r="D27" s="43">
        <f t="shared" si="5"/>
        <v>12295312.5</v>
      </c>
      <c r="E27" s="43">
        <f t="shared" si="5"/>
        <v>12910078.125</v>
      </c>
      <c r="F27" s="43">
        <f t="shared" si="5"/>
        <v>13063769.53125</v>
      </c>
      <c r="G27" s="43">
        <f t="shared" si="5"/>
        <v>13102192.3828125</v>
      </c>
      <c r="H27" s="43">
        <f t="shared" si="5"/>
        <v>13111798.095703125</v>
      </c>
      <c r="I27" s="43">
        <f t="shared" si="5"/>
        <v>13114199.523925781</v>
      </c>
      <c r="J27" s="43">
        <f t="shared" si="5"/>
        <v>13114799.880981445</v>
      </c>
      <c r="K27" s="43">
        <f t="shared" si="5"/>
        <v>13114949.970245361</v>
      </c>
      <c r="L27" s="43">
        <f t="shared" si="5"/>
        <v>13114987.49256134</v>
      </c>
      <c r="M27" s="43">
        <f t="shared" si="5"/>
        <v>13114996.873140335</v>
      </c>
      <c r="N27" s="43">
        <f t="shared" si="5"/>
        <v>13114999.218285084</v>
      </c>
      <c r="O27" s="43">
        <f t="shared" si="5"/>
        <v>13114999.804571271</v>
      </c>
      <c r="P27" s="43">
        <f t="shared" si="5"/>
        <v>13114999.951142818</v>
      </c>
      <c r="Q27" s="43">
        <f t="shared" si="5"/>
        <v>13114999.987785704</v>
      </c>
      <c r="R27" s="43">
        <f t="shared" si="5"/>
        <v>13114999.996946426</v>
      </c>
      <c r="S27" s="43">
        <f t="shared" si="5"/>
        <v>13114999.999236606</v>
      </c>
      <c r="T27" s="43">
        <f t="shared" si="5"/>
        <v>13114999.999809153</v>
      </c>
      <c r="U27" s="43">
        <f t="shared" si="5"/>
        <v>13114999.999952288</v>
      </c>
      <c r="V27" s="43">
        <f t="shared" si="5"/>
        <v>13114999.999988072</v>
      </c>
      <c r="W27" s="43">
        <f t="shared" si="5"/>
        <v>13114999.999997018</v>
      </c>
      <c r="X27" s="43">
        <f t="shared" si="5"/>
        <v>13114999.999999255</v>
      </c>
      <c r="Y27" s="43">
        <f t="shared" si="5"/>
        <v>13114999.999999814</v>
      </c>
      <c r="Z27" s="43">
        <f t="shared" si="5"/>
        <v>13114999.999999953</v>
      </c>
      <c r="AA27" s="39">
        <f t="shared" si="3"/>
        <v>310388333.33333337</v>
      </c>
    </row>
    <row r="28" spans="2:27" x14ac:dyDescent="0.25">
      <c r="B28" s="11" t="s">
        <v>123</v>
      </c>
      <c r="C28" s="38">
        <f t="shared" ref="C28:Z28" si="6">C22*$C$13</f>
        <v>3750000</v>
      </c>
      <c r="D28" s="38">
        <f t="shared" si="6"/>
        <v>3750000</v>
      </c>
      <c r="E28" s="38">
        <f t="shared" si="6"/>
        <v>3750000</v>
      </c>
      <c r="F28" s="38">
        <f t="shared" si="6"/>
        <v>3750000</v>
      </c>
      <c r="G28" s="38">
        <f t="shared" si="6"/>
        <v>3750000</v>
      </c>
      <c r="H28" s="38">
        <f t="shared" si="6"/>
        <v>3750000</v>
      </c>
      <c r="I28" s="38">
        <f t="shared" si="6"/>
        <v>3750000</v>
      </c>
      <c r="J28" s="38">
        <f t="shared" si="6"/>
        <v>3750000</v>
      </c>
      <c r="K28" s="38">
        <f t="shared" si="6"/>
        <v>3750000</v>
      </c>
      <c r="L28" s="38">
        <f t="shared" si="6"/>
        <v>3750000</v>
      </c>
      <c r="M28" s="38">
        <f t="shared" si="6"/>
        <v>3750000</v>
      </c>
      <c r="N28" s="38">
        <f t="shared" si="6"/>
        <v>3750000</v>
      </c>
      <c r="O28" s="38">
        <f t="shared" si="6"/>
        <v>3750000</v>
      </c>
      <c r="P28" s="38">
        <f t="shared" si="6"/>
        <v>3750000</v>
      </c>
      <c r="Q28" s="38">
        <f t="shared" si="6"/>
        <v>3750000</v>
      </c>
      <c r="R28" s="38">
        <f t="shared" si="6"/>
        <v>3750000</v>
      </c>
      <c r="S28" s="38">
        <f t="shared" si="6"/>
        <v>3750000</v>
      </c>
      <c r="T28" s="38">
        <f t="shared" si="6"/>
        <v>3750000</v>
      </c>
      <c r="U28" s="38">
        <f t="shared" si="6"/>
        <v>3750000</v>
      </c>
      <c r="V28" s="38">
        <f t="shared" si="6"/>
        <v>3750000</v>
      </c>
      <c r="W28" s="38">
        <f t="shared" si="6"/>
        <v>3750000</v>
      </c>
      <c r="X28" s="38">
        <f t="shared" si="6"/>
        <v>3750000</v>
      </c>
      <c r="Y28" s="38">
        <f t="shared" si="6"/>
        <v>3750000</v>
      </c>
      <c r="Z28" s="38">
        <f t="shared" si="6"/>
        <v>3750000</v>
      </c>
      <c r="AA28" s="39">
        <f t="shared" si="3"/>
        <v>90000000</v>
      </c>
    </row>
    <row r="29" spans="2:27" x14ac:dyDescent="0.25">
      <c r="B29" s="11" t="s">
        <v>124</v>
      </c>
      <c r="C29" s="38">
        <f t="shared" ref="C29:Z29" si="7">$C$14</f>
        <v>1500000</v>
      </c>
      <c r="D29" s="38">
        <f t="shared" si="7"/>
        <v>1500000</v>
      </c>
      <c r="E29" s="38">
        <f t="shared" si="7"/>
        <v>1500000</v>
      </c>
      <c r="F29" s="38">
        <f t="shared" si="7"/>
        <v>1500000</v>
      </c>
      <c r="G29" s="38">
        <f t="shared" si="7"/>
        <v>1500000</v>
      </c>
      <c r="H29" s="38">
        <f t="shared" si="7"/>
        <v>1500000</v>
      </c>
      <c r="I29" s="38">
        <f t="shared" si="7"/>
        <v>1500000</v>
      </c>
      <c r="J29" s="38">
        <f t="shared" si="7"/>
        <v>1500000</v>
      </c>
      <c r="K29" s="38">
        <f t="shared" si="7"/>
        <v>1500000</v>
      </c>
      <c r="L29" s="38">
        <f t="shared" si="7"/>
        <v>1500000</v>
      </c>
      <c r="M29" s="38">
        <f t="shared" si="7"/>
        <v>1500000</v>
      </c>
      <c r="N29" s="38">
        <f t="shared" si="7"/>
        <v>1500000</v>
      </c>
      <c r="O29" s="38">
        <f t="shared" si="7"/>
        <v>1500000</v>
      </c>
      <c r="P29" s="38">
        <f t="shared" si="7"/>
        <v>1500000</v>
      </c>
      <c r="Q29" s="38">
        <f t="shared" si="7"/>
        <v>1500000</v>
      </c>
      <c r="R29" s="38">
        <f t="shared" si="7"/>
        <v>1500000</v>
      </c>
      <c r="S29" s="38">
        <f t="shared" si="7"/>
        <v>1500000</v>
      </c>
      <c r="T29" s="38">
        <f t="shared" si="7"/>
        <v>1500000</v>
      </c>
      <c r="U29" s="38">
        <f t="shared" si="7"/>
        <v>1500000</v>
      </c>
      <c r="V29" s="38">
        <f t="shared" si="7"/>
        <v>1500000</v>
      </c>
      <c r="W29" s="38">
        <f t="shared" si="7"/>
        <v>1500000</v>
      </c>
      <c r="X29" s="38">
        <f t="shared" si="7"/>
        <v>1500000</v>
      </c>
      <c r="Y29" s="38">
        <f t="shared" si="7"/>
        <v>1500000</v>
      </c>
      <c r="Z29" s="38">
        <f t="shared" si="7"/>
        <v>1500000</v>
      </c>
      <c r="AA29" s="39">
        <f t="shared" si="3"/>
        <v>36000000</v>
      </c>
    </row>
    <row r="30" spans="2:27" x14ac:dyDescent="0.25">
      <c r="B30" s="19" t="s">
        <v>125</v>
      </c>
      <c r="C30" s="44">
        <f t="shared" ref="C30:Z30" si="8">C27-C28-C29</f>
        <v>4586250</v>
      </c>
      <c r="D30" s="44">
        <f t="shared" si="8"/>
        <v>7045312.5</v>
      </c>
      <c r="E30" s="44">
        <f t="shared" si="8"/>
        <v>7660078.125</v>
      </c>
      <c r="F30" s="44">
        <f t="shared" si="8"/>
        <v>7813769.53125</v>
      </c>
      <c r="G30" s="44">
        <f t="shared" si="8"/>
        <v>7852192.3828125</v>
      </c>
      <c r="H30" s="44">
        <f t="shared" si="8"/>
        <v>7861798.095703125</v>
      </c>
      <c r="I30" s="44">
        <f t="shared" si="8"/>
        <v>7864199.5239257813</v>
      </c>
      <c r="J30" s="44">
        <f t="shared" si="8"/>
        <v>7864799.8809814453</v>
      </c>
      <c r="K30" s="44">
        <f t="shared" si="8"/>
        <v>7864949.9702453613</v>
      </c>
      <c r="L30" s="44">
        <f t="shared" si="8"/>
        <v>7864987.4925613403</v>
      </c>
      <c r="M30" s="44">
        <f t="shared" si="8"/>
        <v>7864996.8731403351</v>
      </c>
      <c r="N30" s="44">
        <f t="shared" si="8"/>
        <v>7864999.2182850838</v>
      </c>
      <c r="O30" s="44">
        <f t="shared" si="8"/>
        <v>7864999.8045712709</v>
      </c>
      <c r="P30" s="44">
        <f t="shared" si="8"/>
        <v>7864999.9511428177</v>
      </c>
      <c r="Q30" s="44">
        <f t="shared" si="8"/>
        <v>7864999.9877857044</v>
      </c>
      <c r="R30" s="44">
        <f t="shared" si="8"/>
        <v>7864999.9969464261</v>
      </c>
      <c r="S30" s="44">
        <f t="shared" si="8"/>
        <v>7864999.9992366061</v>
      </c>
      <c r="T30" s="44">
        <f t="shared" si="8"/>
        <v>7864999.9998091534</v>
      </c>
      <c r="U30" s="44">
        <f t="shared" si="8"/>
        <v>7864999.9999522883</v>
      </c>
      <c r="V30" s="44">
        <f t="shared" si="8"/>
        <v>7864999.9999880716</v>
      </c>
      <c r="W30" s="44">
        <f t="shared" si="8"/>
        <v>7864999.9999970179</v>
      </c>
      <c r="X30" s="44">
        <f t="shared" si="8"/>
        <v>7864999.9999992549</v>
      </c>
      <c r="Y30" s="44">
        <f t="shared" si="8"/>
        <v>7864999.9999998137</v>
      </c>
      <c r="Z30" s="44">
        <f t="shared" si="8"/>
        <v>7864999.9999999534</v>
      </c>
      <c r="AA30" s="45">
        <f t="shared" si="3"/>
        <v>184388333.33333334</v>
      </c>
    </row>
    <row r="32" spans="2:27" x14ac:dyDescent="0.25">
      <c r="B32" s="11" t="s">
        <v>126</v>
      </c>
      <c r="C32" s="38">
        <f>C30-$C$15</f>
        <v>-5413750</v>
      </c>
      <c r="D32" s="38">
        <f t="shared" ref="D32:Z32" si="9">D30</f>
        <v>7045312.5</v>
      </c>
      <c r="E32" s="38">
        <f t="shared" si="9"/>
        <v>7660078.125</v>
      </c>
      <c r="F32" s="38">
        <f t="shared" si="9"/>
        <v>7813769.53125</v>
      </c>
      <c r="G32" s="38">
        <f t="shared" si="9"/>
        <v>7852192.3828125</v>
      </c>
      <c r="H32" s="38">
        <f t="shared" si="9"/>
        <v>7861798.095703125</v>
      </c>
      <c r="I32" s="38">
        <f t="shared" si="9"/>
        <v>7864199.5239257813</v>
      </c>
      <c r="J32" s="38">
        <f t="shared" si="9"/>
        <v>7864799.8809814453</v>
      </c>
      <c r="K32" s="38">
        <f t="shared" si="9"/>
        <v>7864949.9702453613</v>
      </c>
      <c r="L32" s="38">
        <f t="shared" si="9"/>
        <v>7864987.4925613403</v>
      </c>
      <c r="M32" s="38">
        <f t="shared" si="9"/>
        <v>7864996.8731403351</v>
      </c>
      <c r="N32" s="38">
        <f t="shared" si="9"/>
        <v>7864999.2182850838</v>
      </c>
      <c r="O32" s="38">
        <f t="shared" si="9"/>
        <v>7864999.8045712709</v>
      </c>
      <c r="P32" s="38">
        <f t="shared" si="9"/>
        <v>7864999.9511428177</v>
      </c>
      <c r="Q32" s="38">
        <f t="shared" si="9"/>
        <v>7864999.9877857044</v>
      </c>
      <c r="R32" s="38">
        <f t="shared" si="9"/>
        <v>7864999.9969464261</v>
      </c>
      <c r="S32" s="38">
        <f t="shared" si="9"/>
        <v>7864999.9992366061</v>
      </c>
      <c r="T32" s="38">
        <f t="shared" si="9"/>
        <v>7864999.9998091534</v>
      </c>
      <c r="U32" s="38">
        <f t="shared" si="9"/>
        <v>7864999.9999522883</v>
      </c>
      <c r="V32" s="38">
        <f t="shared" si="9"/>
        <v>7864999.9999880716</v>
      </c>
      <c r="W32" s="38">
        <f t="shared" si="9"/>
        <v>7864999.9999970179</v>
      </c>
      <c r="X32" s="38">
        <f t="shared" si="9"/>
        <v>7864999.9999992549</v>
      </c>
      <c r="Y32" s="38">
        <f t="shared" si="9"/>
        <v>7864999.9999998137</v>
      </c>
      <c r="Z32" s="38">
        <f t="shared" si="9"/>
        <v>7864999.9999999534</v>
      </c>
      <c r="AA32" s="39">
        <f>SUM(C32:Z32)</f>
        <v>174388333.33333334</v>
      </c>
    </row>
    <row r="33" spans="2:26" x14ac:dyDescent="0.25">
      <c r="B33" s="46" t="s">
        <v>127</v>
      </c>
      <c r="C33" s="47">
        <f>$C$16+C32</f>
        <v>4586250</v>
      </c>
      <c r="D33" s="47">
        <f t="shared" ref="D33:Z33" si="10">C33+D32</f>
        <v>11631562.5</v>
      </c>
      <c r="E33" s="47">
        <f t="shared" si="10"/>
        <v>19291640.625</v>
      </c>
      <c r="F33" s="47">
        <f t="shared" si="10"/>
        <v>27105410.15625</v>
      </c>
      <c r="G33" s="47">
        <f t="shared" si="10"/>
        <v>34957602.5390625</v>
      </c>
      <c r="H33" s="47">
        <f t="shared" si="10"/>
        <v>42819400.634765625</v>
      </c>
      <c r="I33" s="47">
        <f t="shared" si="10"/>
        <v>50683600.158691406</v>
      </c>
      <c r="J33" s="47">
        <f t="shared" si="10"/>
        <v>58548400.039672852</v>
      </c>
      <c r="K33" s="47">
        <f t="shared" si="10"/>
        <v>66413350.009918213</v>
      </c>
      <c r="L33" s="47">
        <f t="shared" si="10"/>
        <v>74278337.502479553</v>
      </c>
      <c r="M33" s="47">
        <f t="shared" si="10"/>
        <v>82143334.375619888</v>
      </c>
      <c r="N33" s="47">
        <f t="shared" si="10"/>
        <v>90008333.593904972</v>
      </c>
      <c r="O33" s="47">
        <f t="shared" si="10"/>
        <v>97873333.398476243</v>
      </c>
      <c r="P33" s="47">
        <f t="shared" si="10"/>
        <v>105738333.34961906</v>
      </c>
      <c r="Q33" s="47">
        <f t="shared" si="10"/>
        <v>113603333.33740476</v>
      </c>
      <c r="R33" s="47">
        <f t="shared" si="10"/>
        <v>121468333.33435118</v>
      </c>
      <c r="S33" s="47">
        <f t="shared" si="10"/>
        <v>129333333.3335878</v>
      </c>
      <c r="T33" s="47">
        <f t="shared" si="10"/>
        <v>137198333.33339694</v>
      </c>
      <c r="U33" s="47">
        <f t="shared" si="10"/>
        <v>145063333.33334923</v>
      </c>
      <c r="V33" s="47">
        <f t="shared" si="10"/>
        <v>152928333.33333731</v>
      </c>
      <c r="W33" s="47">
        <f t="shared" si="10"/>
        <v>160793333.33333433</v>
      </c>
      <c r="X33" s="47">
        <f t="shared" si="10"/>
        <v>168658333.33333358</v>
      </c>
      <c r="Y33" s="47">
        <f t="shared" si="10"/>
        <v>176523333.3333334</v>
      </c>
      <c r="Z33" s="47">
        <f t="shared" si="10"/>
        <v>184388333.33333334</v>
      </c>
    </row>
    <row r="36" spans="2:26" x14ac:dyDescent="0.25">
      <c r="B36" s="3" t="s">
        <v>128</v>
      </c>
      <c r="C36" s="3"/>
      <c r="D36" s="3"/>
      <c r="E36" s="3"/>
      <c r="F36" s="3"/>
      <c r="G36" s="3"/>
      <c r="H36" s="3"/>
      <c r="I36" s="3"/>
      <c r="J36" s="3"/>
    </row>
    <row r="37" spans="2:26" x14ac:dyDescent="0.25">
      <c r="B37" s="10" t="s">
        <v>129</v>
      </c>
      <c r="C37" s="48">
        <f>(NPV($C$17,D32:Z32)+C32)/1000000</f>
        <v>124.9904629864227</v>
      </c>
      <c r="D37" s="30" t="str">
        <f>"(target: &gt; 0)"</f>
        <v>(target: &gt; 0)</v>
      </c>
    </row>
    <row r="38" spans="2:26" x14ac:dyDescent="0.25">
      <c r="B38" s="10" t="s">
        <v>130</v>
      </c>
      <c r="C38" s="49">
        <f>IFERROR((1+IRR(C32:Z32))^12-1,0)</f>
        <v>29145.133696930585</v>
      </c>
      <c r="D38" s="30" t="str">
        <f>"(target: &gt; "&amp;TEXT(CHOOSE($C$6,'1. Assumptions'!C35,'1. Assumptions'!D35,'1. Assumptions'!E35),"0.0%")&amp;")"</f>
        <v>(target: &gt; 40.0%)</v>
      </c>
    </row>
    <row r="39" spans="2:26" x14ac:dyDescent="0.25">
      <c r="B39" s="10" t="s">
        <v>131</v>
      </c>
      <c r="C39" s="50">
        <f>IFERROR(MATCH(TRUE(),INDEX(C41:Z41&gt;=0,0),0),"&gt; 24")</f>
        <v>2</v>
      </c>
      <c r="D39" s="30" t="str">
        <f>"(target: &lt; 24)"</f>
        <v>(target: &lt; 24)</v>
      </c>
    </row>
    <row r="40" spans="2:26" x14ac:dyDescent="0.25">
      <c r="B40" s="10" t="s">
        <v>132</v>
      </c>
      <c r="C40" s="51" t="str">
        <f>IFERROR(MATCH(TRUE(),INDEX(C33:Z33&lt;0,0),0)-1,"&gt;= 24")</f>
        <v>&gt;= 24</v>
      </c>
      <c r="D40" s="30" t="str">
        <f>"(target: &gt;= 12)"</f>
        <v>(target: &gt;= 12)</v>
      </c>
    </row>
    <row r="41" spans="2:26" x14ac:dyDescent="0.25">
      <c r="B41" s="52" t="s">
        <v>133</v>
      </c>
      <c r="C41" s="53">
        <f>C32</f>
        <v>-5413750</v>
      </c>
      <c r="D41" s="53">
        <f t="shared" ref="D41:Z41" si="11">C41+D32</f>
        <v>1631562.5</v>
      </c>
      <c r="E41" s="53">
        <f t="shared" si="11"/>
        <v>9291640.625</v>
      </c>
      <c r="F41" s="53">
        <f t="shared" si="11"/>
        <v>17105410.15625</v>
      </c>
      <c r="G41" s="53">
        <f t="shared" si="11"/>
        <v>24957602.5390625</v>
      </c>
      <c r="H41" s="53">
        <f t="shared" si="11"/>
        <v>32819400.634765625</v>
      </c>
      <c r="I41" s="53">
        <f t="shared" si="11"/>
        <v>40683600.158691406</v>
      </c>
      <c r="J41" s="53">
        <f t="shared" si="11"/>
        <v>48548400.039672852</v>
      </c>
      <c r="K41" s="53">
        <f t="shared" si="11"/>
        <v>56413350.009918213</v>
      </c>
      <c r="L41" s="53">
        <f t="shared" si="11"/>
        <v>64278337.502479553</v>
      </c>
      <c r="M41" s="53">
        <f t="shared" si="11"/>
        <v>72143334.375619888</v>
      </c>
      <c r="N41" s="53">
        <f t="shared" si="11"/>
        <v>80008333.593904972</v>
      </c>
      <c r="O41" s="53">
        <f t="shared" si="11"/>
        <v>87873333.398476243</v>
      </c>
      <c r="P41" s="53">
        <f t="shared" si="11"/>
        <v>95738333.349619061</v>
      </c>
      <c r="Q41" s="53">
        <f t="shared" si="11"/>
        <v>103603333.33740476</v>
      </c>
      <c r="R41" s="53">
        <f t="shared" si="11"/>
        <v>111468333.33435118</v>
      </c>
      <c r="S41" s="53">
        <f t="shared" si="11"/>
        <v>119333333.3335878</v>
      </c>
      <c r="T41" s="53">
        <f t="shared" si="11"/>
        <v>127198333.33339694</v>
      </c>
      <c r="U41" s="53">
        <f t="shared" si="11"/>
        <v>135063333.33334923</v>
      </c>
      <c r="V41" s="53">
        <f t="shared" si="11"/>
        <v>142928333.33333731</v>
      </c>
      <c r="W41" s="53">
        <f t="shared" si="11"/>
        <v>150793333.33333433</v>
      </c>
      <c r="X41" s="53">
        <f t="shared" si="11"/>
        <v>158658333.33333358</v>
      </c>
      <c r="Y41" s="53">
        <f t="shared" si="11"/>
        <v>166523333.3333334</v>
      </c>
      <c r="Z41" s="53">
        <f t="shared" si="11"/>
        <v>174388333.33333334</v>
      </c>
    </row>
    <row r="43" spans="2:26" x14ac:dyDescent="0.25">
      <c r="B43" s="3" t="s">
        <v>134</v>
      </c>
      <c r="C43" s="3"/>
      <c r="D43" s="3"/>
      <c r="E43" s="3"/>
      <c r="F43" s="3"/>
      <c r="G43" s="3"/>
      <c r="H43" s="3"/>
      <c r="I43" s="3"/>
      <c r="J43" s="3"/>
    </row>
    <row r="44" spans="2:26" ht="15.75" x14ac:dyDescent="0.25">
      <c r="B44" s="10"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3">
    <cfRule type="cellIs" dxfId="28" priority="2" operator="lessThan">
      <formula>0</formula>
    </cfRule>
  </conditionalFormatting>
  <conditionalFormatting sqref="D33">
    <cfRule type="cellIs" dxfId="27" priority="3" operator="lessThan">
      <formula>0</formula>
    </cfRule>
  </conditionalFormatting>
  <conditionalFormatting sqref="E33">
    <cfRule type="cellIs" dxfId="26" priority="4" operator="lessThan">
      <formula>0</formula>
    </cfRule>
  </conditionalFormatting>
  <conditionalFormatting sqref="F33">
    <cfRule type="cellIs" dxfId="25" priority="5" operator="lessThan">
      <formula>0</formula>
    </cfRule>
  </conditionalFormatting>
  <conditionalFormatting sqref="G33">
    <cfRule type="cellIs" dxfId="24" priority="6" operator="lessThan">
      <formula>0</formula>
    </cfRule>
  </conditionalFormatting>
  <conditionalFormatting sqref="H33">
    <cfRule type="cellIs" dxfId="23" priority="7" operator="lessThan">
      <formula>0</formula>
    </cfRule>
  </conditionalFormatting>
  <conditionalFormatting sqref="I33">
    <cfRule type="cellIs" dxfId="22" priority="8" operator="lessThan">
      <formula>0</formula>
    </cfRule>
  </conditionalFormatting>
  <conditionalFormatting sqref="J33">
    <cfRule type="cellIs" dxfId="21" priority="9" operator="lessThan">
      <formula>0</formula>
    </cfRule>
  </conditionalFormatting>
  <conditionalFormatting sqref="K33">
    <cfRule type="cellIs" dxfId="20" priority="10" operator="lessThan">
      <formula>0</formula>
    </cfRule>
  </conditionalFormatting>
  <conditionalFormatting sqref="L33">
    <cfRule type="cellIs" dxfId="19" priority="11" operator="lessThan">
      <formula>0</formula>
    </cfRule>
  </conditionalFormatting>
  <conditionalFormatting sqref="M33">
    <cfRule type="cellIs" dxfId="18" priority="12" operator="lessThan">
      <formula>0</formula>
    </cfRule>
  </conditionalFormatting>
  <conditionalFormatting sqref="N33">
    <cfRule type="cellIs" dxfId="17" priority="13" operator="lessThan">
      <formula>0</formula>
    </cfRule>
  </conditionalFormatting>
  <conditionalFormatting sqref="O33">
    <cfRule type="cellIs" dxfId="16" priority="14" operator="lessThan">
      <formula>0</formula>
    </cfRule>
  </conditionalFormatting>
  <conditionalFormatting sqref="P33">
    <cfRule type="cellIs" dxfId="15" priority="15" operator="lessThan">
      <formula>0</formula>
    </cfRule>
  </conditionalFormatting>
  <conditionalFormatting sqref="Q33">
    <cfRule type="cellIs" dxfId="14" priority="16" operator="lessThan">
      <formula>0</formula>
    </cfRule>
  </conditionalFormatting>
  <conditionalFormatting sqref="R33">
    <cfRule type="cellIs" dxfId="13" priority="17" operator="lessThan">
      <formula>0</formula>
    </cfRule>
  </conditionalFormatting>
  <conditionalFormatting sqref="S33">
    <cfRule type="cellIs" dxfId="12" priority="18" operator="lessThan">
      <formula>0</formula>
    </cfRule>
  </conditionalFormatting>
  <conditionalFormatting sqref="T33">
    <cfRule type="cellIs" dxfId="11" priority="19" operator="lessThan">
      <formula>0</formula>
    </cfRule>
  </conditionalFormatting>
  <conditionalFormatting sqref="U33">
    <cfRule type="cellIs" dxfId="10" priority="20" operator="lessThan">
      <formula>0</formula>
    </cfRule>
  </conditionalFormatting>
  <conditionalFormatting sqref="V33">
    <cfRule type="cellIs" dxfId="9" priority="21" operator="lessThan">
      <formula>0</formula>
    </cfRule>
  </conditionalFormatting>
  <conditionalFormatting sqref="W33">
    <cfRule type="cellIs" dxfId="8" priority="22" operator="lessThan">
      <formula>0</formula>
    </cfRule>
  </conditionalFormatting>
  <conditionalFormatting sqref="X33">
    <cfRule type="cellIs" dxfId="7" priority="23" operator="lessThan">
      <formula>0</formula>
    </cfRule>
  </conditionalFormatting>
  <conditionalFormatting sqref="Y33">
    <cfRule type="cellIs" dxfId="6" priority="24" operator="lessThan">
      <formula>0</formula>
    </cfRule>
  </conditionalFormatting>
  <conditionalFormatting sqref="Z33">
    <cfRule type="cellIs" dxfId="5" priority="25" operator="lessThan">
      <formula>0</formula>
    </cfRule>
  </conditionalFormatting>
  <conditionalFormatting sqref="C37">
    <cfRule type="cellIs" dxfId="4" priority="26" operator="greaterThan">
      <formula>0</formula>
    </cfRule>
    <cfRule type="cellIs" dxfId="3" priority="27" operator="lessThanOrEqual">
      <formula>0</formula>
    </cfRule>
  </conditionalFormatting>
  <conditionalFormatting sqref="C40">
    <cfRule type="expression" dxfId="0" priority="30">
      <formula>AND(ISNUMBER(C40),C40&lt;12)</formula>
    </cfRule>
  </conditionalFormatting>
  <dataValidations count="1">
    <dataValidation type="list" sqref="C4">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2DA73384-1F80-4E26-ABC8-7DD19546A287}">
            <xm:f>C38&gt;CHOOSE($C$6,'1. Assumptions'!C35,'1. Assumptions'!D35,'1. Assumptions'!E35)</xm:f>
            <x14:dxf>
              <font>
                <b/>
                <sz val="11"/>
                <color rgb="FF16A34A"/>
                <name val="Arial"/>
              </font>
              <fill>
                <patternFill>
                  <bgColor rgb="FFDCFCE7"/>
                </patternFill>
              </fill>
            </x14:dxf>
          </x14:cfRule>
          <x14:cfRule type="expression" priority="29" id="{76440FDE-5E07-43D7-ABE0-DE3A71FF729A}">
            <xm:f>C38&lt;=CHOOSE($C$6,'1. Assumptions'!C35,'1. Assumptions'!D35,'1. Assumptions'!E35)</xm:f>
            <x14:dxf>
              <font>
                <b/>
                <sz val="11"/>
                <color rgb="FFDC2626"/>
                <name val="Arial"/>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Khánh Nguyễn</cp:lastModifiedBy>
  <cp:revision>0</cp:revision>
  <dcterms:created xsi:type="dcterms:W3CDTF">2026-05-03T14:07:25Z</dcterms:created>
  <dcterms:modified xsi:type="dcterms:W3CDTF">2026-05-04T05:40:51Z</dcterms:modified>
  <dc:language>en-US</dc:language>
</cp:coreProperties>
</file>